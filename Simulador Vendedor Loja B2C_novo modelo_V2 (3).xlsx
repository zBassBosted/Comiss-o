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Vendedor_Loja B2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<sst xmlns="http://schemas.openxmlformats.org/spreadsheetml/2006/main" count="30" uniqueCount="28">
  <si>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 xml:space="preserve">B2C - Vendedor Loja </t>
  </si>
  <si>
    <t>Proposta novo modelo</t>
  </si>
  <si>
    <t>Simulador B2C</t>
  </si>
  <si>
    <t>Faixas de Atingimento</t>
  </si>
  <si>
    <t>Banda Larga</t>
  </si>
  <si>
    <t>Tkm</t>
  </si>
  <si>
    <t>Churn Safra</t>
  </si>
  <si>
    <t>Elegíveis:</t>
  </si>
  <si>
    <t>DE</t>
  </si>
  <si>
    <t>ATÉ</t>
  </si>
  <si>
    <t>Vendedor de Loja</t>
  </si>
  <si>
    <t>Indicadores:</t>
  </si>
  <si>
    <t>Volume Banda Larga (% Ating. Meta)</t>
  </si>
  <si>
    <t xml:space="preserve">Tkm Banda Larga + SVA's (% Ating. Meta) </t>
  </si>
  <si>
    <t>Cálculo do realizado TKM: Receita total / Volume de VI BL</t>
  </si>
  <si>
    <t>Churn Safra (% Ating. Meta)</t>
  </si>
  <si>
    <t>Cálculo:</t>
  </si>
  <si>
    <t>Fator Final x Salário</t>
  </si>
  <si>
    <t>Acima</t>
  </si>
  <si>
    <t>SIMULADOR</t>
  </si>
  <si>
    <t>Ticket Médio</t>
  </si>
  <si>
    <t>META:</t>
  </si>
  <si>
    <t>REALIZADO:</t>
  </si>
  <si>
    <t>% ATING.:</t>
  </si>
  <si>
    <t>Fator:</t>
  </si>
  <si>
    <t>FATOR FINAL:</t>
  </si>
  <si>
    <t>SALÁRIO:</t>
  </si>
  <si>
    <t>COMISSÃO: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</si>
</sst>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#,##0.000"/>
    <numFmt numFmtId="181" formatCode="_-[$R$-416]\ * #,##0.00_-;\-[$R$-416]\ * #,##0.00_-;_-[$R$-416]\ * &quot;-&quot;??_-;_-@_-"/>
    <numFmt numFmtId="182" formatCode="&quot;R$&quot;\ #,##0.00"/>
  </numFmts>
  <fonts count="29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b/>
      <sz val="10"/>
      <color theme="1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sz val="10"/>
      <color rgb="FFFF0000"/>
      <name val="Aptos Narrow"/>
      <charset val="134"/>
      <scheme val="minor"/>
    </font>
    <font>
      <b/>
      <sz val="10"/>
      <color theme="0"/>
      <name val="Aptos Narrow"/>
      <charset val="134"/>
      <scheme val="minor"/>
    </font>
    <font>
      <b/>
      <sz val="10"/>
      <name val="Aptos Narrow"/>
      <charset val="134"/>
      <scheme val="minor"/>
    </font>
    <font>
      <sz val="10"/>
      <name val="Aptos Narrow"/>
      <charset val="134"/>
      <scheme val="minor"/>
    </font>
    <font>
      <b/>
      <sz val="10"/>
      <color rgb="FFFF0000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8" applyNumberFormat="0" applyAlignment="0" applyProtection="0">
      <alignment vertical="center"/>
    </xf>
    <xf numFmtId="0" fontId="19" fillId="8" borderId="19" applyNumberFormat="0" applyAlignment="0" applyProtection="0">
      <alignment vertical="center"/>
    </xf>
    <xf numFmtId="0" fontId="20" fillId="8" borderId="18" applyNumberFormat="0" applyAlignment="0" applyProtection="0">
      <alignment vertical="center"/>
    </xf>
    <xf numFmtId="0" fontId="21" fillId="9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69">
    <xf numFmtId="0" fontId="0" fillId="0" borderId="0" xfId="0"/>
    <xf numFmtId="0" fontId="1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vertical="center"/>
    </xf>
    <xf numFmtId="0" fontId="2" fillId="0" borderId="0" xfId="0" applyFont="1" applyAlignment="1" applyProtection="1">
      <alignment horizontal="left" vertical="center"/>
    </xf>
    <xf numFmtId="0" fontId="1" fillId="0" borderId="0" xfId="0" applyFont="1" applyAlignment="1" applyProtection="1">
      <alignment horizontal="left" vertical="center"/>
    </xf>
    <xf numFmtId="0" fontId="1" fillId="0" borderId="0" xfId="0" applyFont="1" applyProtection="1"/>
    <xf numFmtId="0" fontId="3" fillId="2" borderId="0" xfId="0" applyFont="1" applyFill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left" vertical="center"/>
    </xf>
    <xf numFmtId="0" fontId="2" fillId="3" borderId="2" xfId="0" applyFont="1" applyFill="1" applyBorder="1" applyAlignment="1" applyProtection="1">
      <alignment horizontal="center" vertical="center"/>
    </xf>
    <xf numFmtId="0" fontId="2" fillId="3" borderId="3" xfId="0" applyFont="1" applyFill="1" applyBorder="1" applyAlignment="1" applyProtection="1">
      <alignment horizontal="center" vertical="center"/>
    </xf>
    <xf numFmtId="0" fontId="2" fillId="3" borderId="4" xfId="0" applyFont="1" applyFill="1" applyBorder="1" applyAlignment="1" applyProtection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</xf>
    <xf numFmtId="0" fontId="2" fillId="3" borderId="6" xfId="0" applyFont="1" applyFill="1" applyBorder="1" applyAlignment="1" applyProtection="1">
      <alignment horizontal="center" vertical="center"/>
    </xf>
    <xf numFmtId="9" fontId="1" fillId="0" borderId="0" xfId="3" applyFont="1" applyAlignment="1" applyProtection="1">
      <alignment horizontal="center" vertical="center"/>
    </xf>
    <xf numFmtId="9" fontId="5" fillId="2" borderId="4" xfId="3" applyFont="1" applyFill="1" applyBorder="1" applyAlignment="1" applyProtection="1">
      <alignment horizontal="center" vertical="center"/>
    </xf>
    <xf numFmtId="9" fontId="5" fillId="2" borderId="5" xfId="3" applyFont="1" applyFill="1" applyBorder="1" applyAlignment="1" applyProtection="1">
      <alignment horizontal="center" vertical="center"/>
    </xf>
    <xf numFmtId="10" fontId="6" fillId="0" borderId="4" xfId="3" applyNumberFormat="1" applyFont="1" applyBorder="1" applyAlignment="1" applyProtection="1">
      <alignment horizontal="right" vertical="center" indent="1"/>
    </xf>
    <xf numFmtId="10" fontId="6" fillId="0" borderId="6" xfId="3" applyNumberFormat="1" applyFont="1" applyBorder="1" applyAlignment="1" applyProtection="1">
      <alignment horizontal="left" vertical="center" indent="1"/>
    </xf>
    <xf numFmtId="180" fontId="7" fillId="0" borderId="7" xfId="3" applyNumberFormat="1" applyFont="1" applyBorder="1" applyAlignment="1" applyProtection="1">
      <alignment horizontal="center" vertical="center"/>
    </xf>
    <xf numFmtId="180" fontId="7" fillId="0" borderId="8" xfId="3" applyNumberFormat="1" applyFont="1" applyBorder="1" applyAlignment="1" applyProtection="1">
      <alignment horizontal="center" vertical="center"/>
    </xf>
    <xf numFmtId="4" fontId="2" fillId="0" borderId="0" xfId="0" applyNumberFormat="1" applyFont="1" applyAlignment="1" applyProtection="1">
      <alignment horizontal="left" vertical="center"/>
    </xf>
    <xf numFmtId="4" fontId="1" fillId="0" borderId="0" xfId="0" applyNumberFormat="1" applyFont="1" applyAlignment="1" applyProtection="1">
      <alignment horizontal="left" vertical="center"/>
    </xf>
    <xf numFmtId="10" fontId="6" fillId="0" borderId="7" xfId="3" applyNumberFormat="1" applyFont="1" applyBorder="1" applyAlignment="1" applyProtection="1">
      <alignment horizontal="right" vertical="center" indent="1"/>
    </xf>
    <xf numFmtId="10" fontId="6" fillId="0" borderId="1" xfId="3" applyNumberFormat="1" applyFont="1" applyBorder="1" applyAlignment="1" applyProtection="1">
      <alignment horizontal="left" vertical="center" indent="1"/>
    </xf>
    <xf numFmtId="1" fontId="1" fillId="0" borderId="0" xfId="0" applyNumberFormat="1" applyFont="1" applyAlignment="1" applyProtection="1">
      <alignment vertical="center"/>
    </xf>
    <xf numFmtId="10" fontId="2" fillId="0" borderId="7" xfId="3" applyNumberFormat="1" applyFont="1" applyBorder="1" applyAlignment="1" applyProtection="1">
      <alignment horizontal="right" indent="1"/>
    </xf>
    <xf numFmtId="1" fontId="1" fillId="0" borderId="0" xfId="1" applyNumberFormat="1" applyFont="1" applyAlignment="1" applyProtection="1">
      <alignment horizontal="center" vertical="center"/>
    </xf>
    <xf numFmtId="10" fontId="2" fillId="0" borderId="9" xfId="3" applyNumberFormat="1" applyFont="1" applyBorder="1" applyAlignment="1" applyProtection="1">
      <alignment horizontal="right" indent="1"/>
    </xf>
    <xf numFmtId="9" fontId="2" fillId="0" borderId="10" xfId="3" applyFont="1" applyBorder="1" applyAlignment="1" applyProtection="1">
      <alignment horizontal="left" indent="1"/>
    </xf>
    <xf numFmtId="180" fontId="7" fillId="0" borderId="9" xfId="3" applyNumberFormat="1" applyFont="1" applyBorder="1" applyAlignment="1" applyProtection="1">
      <alignment horizontal="center" vertical="center"/>
    </xf>
    <xf numFmtId="180" fontId="7" fillId="0" borderId="11" xfId="3" applyNumberFormat="1" applyFont="1" applyBorder="1" applyAlignment="1" applyProtection="1">
      <alignment horizontal="center" vertical="center"/>
    </xf>
    <xf numFmtId="0" fontId="5" fillId="2" borderId="0" xfId="0" applyFont="1" applyFill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181" fontId="1" fillId="0" borderId="2" xfId="0" applyNumberFormat="1" applyFont="1" applyBorder="1" applyAlignment="1" applyProtection="1">
      <alignment horizontal="center" vertical="center"/>
    </xf>
    <xf numFmtId="181" fontId="1" fillId="0" borderId="12" xfId="0" applyNumberFormat="1" applyFont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right" vertical="center" indent="1"/>
    </xf>
    <xf numFmtId="0" fontId="2" fillId="0" borderId="3" xfId="0" applyFont="1" applyBorder="1" applyAlignment="1" applyProtection="1">
      <alignment horizontal="right" vertical="center" indent="1"/>
    </xf>
    <xf numFmtId="1" fontId="1" fillId="0" borderId="0" xfId="0" applyNumberFormat="1" applyFont="1" applyAlignment="1" applyProtection="1">
      <alignment horizontal="center" vertical="center"/>
    </xf>
    <xf numFmtId="0" fontId="2" fillId="0" borderId="4" xfId="0" applyFont="1" applyBorder="1" applyAlignment="1" applyProtection="1">
      <alignment horizontal="right" vertical="center" indent="1"/>
    </xf>
    <xf numFmtId="0" fontId="2" fillId="0" borderId="13" xfId="0" applyFont="1" applyBorder="1" applyAlignment="1" applyProtection="1">
      <alignment horizontal="right" vertical="center" indent="1"/>
    </xf>
    <xf numFmtId="3" fontId="1" fillId="4" borderId="13" xfId="0" applyNumberFormat="1" applyFont="1" applyFill="1" applyBorder="1" applyAlignment="1" applyProtection="1">
      <alignment horizontal="right" vertical="center" indent="1"/>
      <protection locked="0"/>
    </xf>
    <xf numFmtId="182" fontId="1" fillId="4" borderId="13" xfId="0" applyNumberFormat="1" applyFont="1" applyFill="1" applyBorder="1" applyAlignment="1" applyProtection="1">
      <alignment horizontal="right" vertical="center" indent="1"/>
      <protection locked="0"/>
    </xf>
    <xf numFmtId="10" fontId="1" fillId="4" borderId="6" xfId="0" applyNumberFormat="1" applyFont="1" applyFill="1" applyBorder="1" applyAlignment="1" applyProtection="1">
      <alignment horizontal="right" vertical="center" indent="1"/>
      <protection locked="0"/>
    </xf>
    <xf numFmtId="0" fontId="2" fillId="0" borderId="7" xfId="0" applyFont="1" applyBorder="1" applyAlignment="1" applyProtection="1">
      <alignment horizontal="right" vertical="center" indent="1"/>
    </xf>
    <xf numFmtId="0" fontId="2" fillId="0" borderId="0" xfId="0" applyFont="1" applyAlignment="1" applyProtection="1">
      <alignment horizontal="right" vertical="center" indent="1"/>
    </xf>
    <xf numFmtId="3" fontId="1" fillId="4" borderId="0" xfId="0" applyNumberFormat="1" applyFont="1" applyFill="1" applyAlignment="1" applyProtection="1">
      <alignment horizontal="right" vertical="center" indent="1"/>
      <protection locked="0"/>
    </xf>
    <xf numFmtId="182" fontId="1" fillId="4" borderId="0" xfId="0" applyNumberFormat="1" applyFont="1" applyFill="1" applyAlignment="1" applyProtection="1">
      <alignment horizontal="right" vertical="center" indent="1"/>
      <protection locked="0"/>
    </xf>
    <xf numFmtId="10" fontId="1" fillId="4" borderId="1" xfId="0" applyNumberFormat="1" applyFont="1" applyFill="1" applyBorder="1" applyAlignment="1" applyProtection="1">
      <alignment horizontal="right" vertical="center" indent="1"/>
      <protection locked="0"/>
    </xf>
    <xf numFmtId="10" fontId="1" fillId="0" borderId="0" xfId="3" applyNumberFormat="1" applyFont="1" applyBorder="1" applyAlignment="1" applyProtection="1">
      <alignment horizontal="right" vertical="center" indent="1"/>
    </xf>
    <xf numFmtId="10" fontId="1" fillId="0" borderId="1" xfId="3" applyNumberFormat="1" applyFont="1" applyBorder="1" applyAlignment="1" applyProtection="1">
      <alignment horizontal="right" vertical="center" indent="1"/>
    </xf>
    <xf numFmtId="0" fontId="2" fillId="0" borderId="9" xfId="0" applyFont="1" applyBorder="1" applyAlignment="1" applyProtection="1">
      <alignment horizontal="right" vertical="center" indent="1"/>
    </xf>
    <xf numFmtId="0" fontId="2" fillId="0" borderId="14" xfId="0" applyFont="1" applyBorder="1" applyAlignment="1" applyProtection="1">
      <alignment horizontal="right" vertical="center" indent="1"/>
    </xf>
    <xf numFmtId="180" fontId="1" fillId="0" borderId="14" xfId="0" applyNumberFormat="1" applyFont="1" applyBorder="1" applyAlignment="1" applyProtection="1">
      <alignment horizontal="right" vertical="center" indent="1"/>
    </xf>
    <xf numFmtId="180" fontId="1" fillId="0" borderId="10" xfId="0" applyNumberFormat="1" applyFont="1" applyBorder="1" applyAlignment="1" applyProtection="1">
      <alignment horizontal="right" vertical="center" indent="1"/>
    </xf>
    <xf numFmtId="0" fontId="1" fillId="0" borderId="13" xfId="0" applyFont="1" applyBorder="1" applyAlignment="1" applyProtection="1">
      <alignment vertical="center"/>
    </xf>
    <xf numFmtId="4" fontId="2" fillId="0" borderId="13" xfId="0" applyNumberFormat="1" applyFont="1" applyBorder="1" applyAlignment="1" applyProtection="1">
      <alignment horizontal="right" vertical="center" indent="1"/>
    </xf>
    <xf numFmtId="0" fontId="1" fillId="0" borderId="6" xfId="0" applyFont="1" applyBorder="1" applyAlignment="1" applyProtection="1">
      <alignment vertical="center"/>
    </xf>
    <xf numFmtId="182" fontId="2" fillId="4" borderId="0" xfId="0" applyNumberFormat="1" applyFont="1" applyFill="1" applyAlignment="1" applyProtection="1">
      <alignment horizontal="right" vertical="center" indent="1"/>
      <protection locked="0"/>
    </xf>
    <xf numFmtId="182" fontId="1" fillId="0" borderId="1" xfId="0" applyNumberFormat="1" applyFont="1" applyBorder="1" applyAlignment="1" applyProtection="1">
      <alignment vertical="center"/>
    </xf>
    <xf numFmtId="0" fontId="1" fillId="0" borderId="14" xfId="0" applyFont="1" applyBorder="1" applyAlignment="1" applyProtection="1">
      <alignment vertical="center"/>
    </xf>
    <xf numFmtId="182" fontId="2" fillId="0" borderId="14" xfId="0" applyNumberFormat="1" applyFont="1" applyBorder="1" applyAlignment="1" applyProtection="1">
      <alignment horizontal="right" vertical="center" indent="1"/>
    </xf>
    <xf numFmtId="0" fontId="1" fillId="0" borderId="10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 textRotation="90"/>
    </xf>
    <xf numFmtId="0" fontId="8" fillId="5" borderId="0" xfId="0" applyFont="1" applyFill="1" applyProtection="1"/>
    <xf numFmtId="0" fontId="2" fillId="0" borderId="0" xfId="0" applyFont="1" applyProtection="1"/>
    <xf numFmtId="0" fontId="1" fillId="0" borderId="0" xfId="0" applyFont="1" applyAlignment="1" applyProtection="1">
      <alignment horizontal="left" indent="1"/>
    </xf>
    <xf numFmtId="0" fontId="1" fillId="0" borderId="0" xfId="0" applyFont="1" applyAlignment="1" applyProtection="1">
      <alignment horizontal="left" indent="3"/>
    </xf>
    <xf numFmtId="182" fontId="1" fillId="0" borderId="0" xfId="0" applyNumberFormat="1" applyFont="1" applyProtection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">
    <dxf>
      <font>
        <color theme="0"/>
      </font>
      <fill>
        <patternFill patternType="solid">
          <bgColor theme="9" tint="-0.24994659260841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2:I69"/>
  <sheetViews>
    <sheetView showGridLines="0" tabSelected="1" workbookViewId="0">
      <selection activeCell="I27" sqref="I27"/>
    </sheetView>
  </sheetViews>
  <sheetFormatPr defaultColWidth="9" defaultRowHeight="12"/>
  <cols>
    <col min="1" max="1" width="4.425" style="1" customWidth="1"/>
    <col min="2" max="3" width="10.7083333333333" style="2" customWidth="1"/>
    <col min="4" max="6" width="14" style="2" customWidth="1"/>
    <col min="7" max="7" width="6" style="3" customWidth="1"/>
    <col min="8" max="8" width="10.5666666666667" style="4" customWidth="1"/>
    <col min="9" max="9" width="47.2833333333333" style="5" customWidth="1"/>
    <col min="10" max="10" width="2.28333333333333" style="5" customWidth="1"/>
    <col min="11" max="16384" width="9.14166666666667" style="5"/>
  </cols>
  <sheetData>
    <row r="2" ht="14.25" spans="2:9">
      <c r="B2" s="6" t="s">
        <v>0</v>
      </c>
      <c r="C2" s="6"/>
      <c r="D2" s="6"/>
      <c r="E2" s="6"/>
      <c r="F2" s="7"/>
      <c r="I2" s="64" t="s">
        <v>1</v>
      </c>
    </row>
    <row r="3" spans="8:9">
      <c r="H3" s="8"/>
      <c r="I3" s="65" t="s">
        <v>2</v>
      </c>
    </row>
    <row r="4" spans="2:9">
      <c r="B4" s="9" t="s">
        <v>3</v>
      </c>
      <c r="C4" s="10"/>
      <c r="D4" s="11" t="s">
        <v>4</v>
      </c>
      <c r="E4" s="12" t="s">
        <v>5</v>
      </c>
      <c r="F4" s="13" t="s">
        <v>6</v>
      </c>
      <c r="I4" s="65" t="s">
        <v>7</v>
      </c>
    </row>
    <row r="5" spans="1:9">
      <c r="A5" s="14"/>
      <c r="B5" s="11" t="s">
        <v>8</v>
      </c>
      <c r="C5" s="13" t="s">
        <v>9</v>
      </c>
      <c r="D5" s="15">
        <v>0.6</v>
      </c>
      <c r="E5" s="15">
        <v>0.2</v>
      </c>
      <c r="F5" s="16">
        <v>0.2</v>
      </c>
      <c r="I5" s="66" t="s">
        <v>10</v>
      </c>
    </row>
    <row r="6" spans="1:9">
      <c r="A6" s="14"/>
      <c r="B6" s="17">
        <v>0</v>
      </c>
      <c r="C6" s="18">
        <f t="shared" ref="C6:C15" si="0">B7-0.0001</f>
        <v>0.6999</v>
      </c>
      <c r="D6" s="19">
        <f>$G6*D$5</f>
        <v>0</v>
      </c>
      <c r="E6" s="19">
        <f t="shared" ref="E6:F16" si="1">$G6*E$5</f>
        <v>0</v>
      </c>
      <c r="F6" s="20">
        <f t="shared" si="1"/>
        <v>0</v>
      </c>
      <c r="G6" s="21">
        <v>0</v>
      </c>
      <c r="H6" s="22"/>
      <c r="I6" s="66"/>
    </row>
    <row r="7" spans="2:9">
      <c r="B7" s="23">
        <v>0.7</v>
      </c>
      <c r="C7" s="24">
        <f t="shared" si="0"/>
        <v>0.7999</v>
      </c>
      <c r="D7" s="19">
        <f t="shared" ref="D7:D16" si="2">$G7*D$5</f>
        <v>0.06</v>
      </c>
      <c r="E7" s="19">
        <f t="shared" si="1"/>
        <v>0.02</v>
      </c>
      <c r="F7" s="20">
        <f t="shared" si="1"/>
        <v>0.02</v>
      </c>
      <c r="G7" s="21">
        <v>0.1</v>
      </c>
      <c r="H7" s="22"/>
      <c r="I7" s="65" t="s">
        <v>11</v>
      </c>
    </row>
    <row r="8" spans="2:9">
      <c r="B8" s="23">
        <v>0.8</v>
      </c>
      <c r="C8" s="24">
        <f t="shared" si="0"/>
        <v>0.8999</v>
      </c>
      <c r="D8" s="19">
        <f t="shared" si="2"/>
        <v>0.09</v>
      </c>
      <c r="E8" s="19">
        <f t="shared" si="1"/>
        <v>0.03</v>
      </c>
      <c r="F8" s="20">
        <f t="shared" si="1"/>
        <v>0.03</v>
      </c>
      <c r="G8" s="21">
        <v>0.15</v>
      </c>
      <c r="H8" s="22"/>
      <c r="I8" s="66" t="s">
        <v>12</v>
      </c>
    </row>
    <row r="9" spans="1:9">
      <c r="A9" s="25"/>
      <c r="B9" s="23">
        <v>0.9</v>
      </c>
      <c r="C9" s="24">
        <f t="shared" si="0"/>
        <v>0.9999</v>
      </c>
      <c r="D9" s="19">
        <f t="shared" si="2"/>
        <v>0.12</v>
      </c>
      <c r="E9" s="19">
        <f t="shared" si="1"/>
        <v>0.04</v>
      </c>
      <c r="F9" s="20">
        <f t="shared" si="1"/>
        <v>0.04</v>
      </c>
      <c r="G9" s="21">
        <v>0.2</v>
      </c>
      <c r="H9" s="22"/>
      <c r="I9" s="66" t="s">
        <v>13</v>
      </c>
    </row>
    <row r="10" spans="1:9">
      <c r="A10" s="25"/>
      <c r="B10" s="23">
        <v>1</v>
      </c>
      <c r="C10" s="24">
        <f t="shared" si="0"/>
        <v>1.0499</v>
      </c>
      <c r="D10" s="19">
        <f t="shared" si="2"/>
        <v>0.18</v>
      </c>
      <c r="E10" s="19">
        <f t="shared" si="1"/>
        <v>0.06</v>
      </c>
      <c r="F10" s="20">
        <f t="shared" si="1"/>
        <v>0.06</v>
      </c>
      <c r="G10" s="21">
        <v>0.3</v>
      </c>
      <c r="H10" s="22"/>
      <c r="I10" s="67" t="s">
        <v>14</v>
      </c>
    </row>
    <row r="11" spans="1:9">
      <c r="A11" s="25"/>
      <c r="B11" s="23">
        <v>1.05</v>
      </c>
      <c r="C11" s="24">
        <f t="shared" si="0"/>
        <v>1.0999</v>
      </c>
      <c r="D11" s="19">
        <f t="shared" si="2"/>
        <v>0.3</v>
      </c>
      <c r="E11" s="19">
        <f t="shared" si="1"/>
        <v>0.1</v>
      </c>
      <c r="F11" s="20">
        <f t="shared" si="1"/>
        <v>0.1</v>
      </c>
      <c r="G11" s="21">
        <v>0.5</v>
      </c>
      <c r="H11" s="22"/>
      <c r="I11" s="66" t="s">
        <v>15</v>
      </c>
    </row>
    <row r="12" spans="1:8">
      <c r="A12" s="25"/>
      <c r="B12" s="23">
        <v>1.1</v>
      </c>
      <c r="C12" s="24">
        <f t="shared" si="0"/>
        <v>1.1499</v>
      </c>
      <c r="D12" s="19">
        <f t="shared" si="2"/>
        <v>0.48</v>
      </c>
      <c r="E12" s="19">
        <f t="shared" si="1"/>
        <v>0.16</v>
      </c>
      <c r="F12" s="20">
        <f t="shared" si="1"/>
        <v>0.16</v>
      </c>
      <c r="G12" s="21">
        <v>0.8</v>
      </c>
      <c r="H12" s="22"/>
    </row>
    <row r="13" spans="1:9">
      <c r="A13" s="25"/>
      <c r="B13" s="26">
        <v>1.15</v>
      </c>
      <c r="C13" s="24">
        <f t="shared" si="0"/>
        <v>1.1999</v>
      </c>
      <c r="D13" s="19">
        <f t="shared" si="2"/>
        <v>0.66</v>
      </c>
      <c r="E13" s="19">
        <f t="shared" si="1"/>
        <v>0.22</v>
      </c>
      <c r="F13" s="20">
        <f t="shared" si="1"/>
        <v>0.22</v>
      </c>
      <c r="G13" s="21">
        <v>1.1</v>
      </c>
      <c r="H13" s="22"/>
      <c r="I13" s="65" t="s">
        <v>16</v>
      </c>
    </row>
    <row r="14" spans="1:9">
      <c r="A14" s="25"/>
      <c r="B14" s="26">
        <v>1.2</v>
      </c>
      <c r="C14" s="24">
        <f t="shared" si="0"/>
        <v>1.4999</v>
      </c>
      <c r="D14" s="19">
        <f t="shared" si="2"/>
        <v>0.84</v>
      </c>
      <c r="E14" s="19">
        <f t="shared" si="1"/>
        <v>0.28</v>
      </c>
      <c r="F14" s="20">
        <f t="shared" si="1"/>
        <v>0.28</v>
      </c>
      <c r="G14" s="21">
        <v>1.4</v>
      </c>
      <c r="H14" s="22"/>
      <c r="I14" s="66" t="s">
        <v>17</v>
      </c>
    </row>
    <row r="15" spans="1:8">
      <c r="A15" s="27"/>
      <c r="B15" s="26">
        <v>1.5</v>
      </c>
      <c r="C15" s="24">
        <f t="shared" si="0"/>
        <v>1.9999</v>
      </c>
      <c r="D15" s="19">
        <f t="shared" si="2"/>
        <v>1.02</v>
      </c>
      <c r="E15" s="19">
        <f t="shared" si="1"/>
        <v>0.34</v>
      </c>
      <c r="F15" s="20">
        <f t="shared" si="1"/>
        <v>0.34</v>
      </c>
      <c r="G15" s="21">
        <v>1.7</v>
      </c>
      <c r="H15" s="22"/>
    </row>
    <row r="16" spans="1:8">
      <c r="A16" s="27"/>
      <c r="B16" s="28">
        <v>2</v>
      </c>
      <c r="C16" s="29" t="s">
        <v>18</v>
      </c>
      <c r="D16" s="30">
        <f t="shared" si="2"/>
        <v>1.2</v>
      </c>
      <c r="E16" s="30">
        <f t="shared" si="1"/>
        <v>0.4</v>
      </c>
      <c r="F16" s="31">
        <f t="shared" si="1"/>
        <v>0.4</v>
      </c>
      <c r="G16" s="21">
        <v>2</v>
      </c>
      <c r="H16" s="22"/>
    </row>
    <row r="17" spans="1:1">
      <c r="A17" s="27"/>
    </row>
    <row r="18" spans="1:9">
      <c r="A18" s="27"/>
      <c r="B18" s="32" t="s">
        <v>19</v>
      </c>
      <c r="C18" s="32"/>
      <c r="D18" s="32"/>
      <c r="E18" s="32"/>
      <c r="F18" s="33"/>
      <c r="I18" s="63"/>
    </row>
    <row r="19" ht="15" customHeight="1" spans="2:6">
      <c r="B19" s="34"/>
      <c r="C19" s="35"/>
      <c r="D19" s="36" t="s">
        <v>4</v>
      </c>
      <c r="E19" s="36" t="s">
        <v>20</v>
      </c>
      <c r="F19" s="37" t="s">
        <v>6</v>
      </c>
    </row>
    <row r="20" spans="1:6">
      <c r="A20" s="38"/>
      <c r="B20" s="39" t="s">
        <v>21</v>
      </c>
      <c r="C20" s="40"/>
      <c r="D20" s="41">
        <v>12</v>
      </c>
      <c r="E20" s="42">
        <v>117.9</v>
      </c>
      <c r="F20" s="43">
        <v>0.08</v>
      </c>
    </row>
    <row r="21" ht="15" customHeight="1" spans="1:6">
      <c r="A21" s="38"/>
      <c r="B21" s="44" t="s">
        <v>22</v>
      </c>
      <c r="C21" s="45"/>
      <c r="D21" s="46">
        <v>12</v>
      </c>
      <c r="E21" s="47">
        <v>115.8</v>
      </c>
      <c r="F21" s="48">
        <v>0.02</v>
      </c>
    </row>
    <row r="22" ht="15" customHeight="1" spans="1:6">
      <c r="A22" s="38"/>
      <c r="B22" s="44" t="s">
        <v>23</v>
      </c>
      <c r="C22" s="45"/>
      <c r="D22" s="49">
        <f>D21/D20</f>
        <v>1</v>
      </c>
      <c r="E22" s="49">
        <f>E21/E20</f>
        <v>0.982188295165394</v>
      </c>
      <c r="F22" s="50">
        <f>F20/F21</f>
        <v>4</v>
      </c>
    </row>
    <row r="23" ht="15" customHeight="1" spans="1:6">
      <c r="A23" s="38"/>
      <c r="B23" s="51" t="s">
        <v>24</v>
      </c>
      <c r="C23" s="52"/>
      <c r="D23" s="53">
        <f>IF(D22&lt;$B7,D6,IF(D22&lt;$B8,D7,IF(D22&lt;$B9,D8,IF(D22&lt;$B10,D9,IF(D22&lt;$B11,D10,IF(D22&lt;$B12,D11,IF(D22&lt;$B13,D12,IF(D22&lt;$B14,D13,IF(D22&lt;$B15,D14,IF(D22&lt;$B16,D15,IF(D22&gt;=$B16,D16)))))))))))</f>
        <v>0.18</v>
      </c>
      <c r="E23" s="53">
        <f>IF(E22&lt;$B7,E6,IF(E22&lt;$B8,E7,IF(E22&lt;$B9,E8,IF(E22&lt;$B10,E9,IF(E22&lt;$B11,E10,IF(E22&lt;$B12,E11,IF(E22&lt;$B13,E12,IF(E22&lt;$B14,E13,IF(E22&lt;$B15,E14,IF(E22&lt;$B16,E15,IF(E22&gt;=$B16,E16)))))))))))</f>
        <v>0.04</v>
      </c>
      <c r="F23" s="54">
        <f>IF(F22&lt;$B7,F6,IF(F22&lt;$B8,F7,IF(F22&lt;$B9,F8,IF(F22&lt;$B10,F9,IF(F22&lt;$B11,F10,IF(F22&lt;$B12,F11,IF(F22&lt;$B13,F12,IF(F22&lt;$B14,F13,IF(F22&lt;$B15,F14,IF(F22&lt;$B16,F15,IF(F22&gt;=$B16,F16)))))))))))</f>
        <v>0.4</v>
      </c>
    </row>
    <row r="24" ht="15" customHeight="1" spans="1:9">
      <c r="A24" s="38"/>
      <c r="B24" s="39" t="s">
        <v>25</v>
      </c>
      <c r="C24" s="40"/>
      <c r="D24" s="55"/>
      <c r="E24" s="56">
        <f>D23+E23+F23</f>
        <v>0.62</v>
      </c>
      <c r="F24" s="57"/>
      <c r="I24" s="68"/>
    </row>
    <row r="25" ht="15" customHeight="1" spans="1:6">
      <c r="A25" s="38"/>
      <c r="B25" s="44" t="s">
        <v>26</v>
      </c>
      <c r="C25" s="45"/>
      <c r="E25" s="58">
        <v>1697.94</v>
      </c>
      <c r="F25" s="59"/>
    </row>
    <row r="26" ht="15" customHeight="1" spans="2:6">
      <c r="B26" s="51" t="s">
        <v>27</v>
      </c>
      <c r="C26" s="52"/>
      <c r="D26" s="60"/>
      <c r="E26" s="61">
        <f>E25*E24</f>
        <v>1052.7228</v>
      </c>
      <c r="F26" s="62"/>
    </row>
    <row r="27" ht="15" customHeight="1"/>
    <row r="49" spans="2:2">
      <c r="B49" s="63"/>
    </row>
    <row r="50" spans="2:2">
      <c r="B50" s="63"/>
    </row>
    <row r="58" spans="2:2">
      <c r="B58" s="63"/>
    </row>
    <row r="59" spans="2:2">
      <c r="B59" s="63"/>
    </row>
    <row r="60" spans="2:2">
      <c r="B60" s="63"/>
    </row>
    <row r="61" spans="2:2">
      <c r="B61" s="63"/>
    </row>
    <row r="62" spans="2:2">
      <c r="B62" s="63"/>
    </row>
    <row r="63" spans="2:2">
      <c r="B63" s="63"/>
    </row>
    <row r="64" spans="2:2">
      <c r="B64" s="63"/>
    </row>
    <row r="65" spans="2:2">
      <c r="B65" s="63"/>
    </row>
    <row r="66" spans="2:2">
      <c r="B66" s="63"/>
    </row>
    <row r="67" spans="2:2">
      <c r="B67" s="63"/>
    </row>
    <row r="68" spans="2:2">
      <c r="B68" s="63"/>
    </row>
    <row r="69" spans="2:2">
      <c r="B69" s="63"/>
    </row>
  </sheetData>
  <sheetProtection algorithmName="SHA-512" hashValue="I0rQAuGjE9wHRflbw2Mi/k98koIAHQbOIE99OmKJ8ToA+Ofyph6Zm2hSiIJpTI3LzbYzA+gXLVNL3RmFBPBvtg==" saltValue="m+x6r68iQLd3isF5TWGqxw==" spinCount="100000" sheet="1" objects="1" scenarios="1"/>
  <mergeCells count="11">
    <mergeCell ref="B2:F2"/>
    <mergeCell ref="B4:C4"/>
    <mergeCell ref="B18:F18"/>
    <mergeCell ref="B19:C19"/>
    <mergeCell ref="B20:C20"/>
    <mergeCell ref="B21:C21"/>
    <mergeCell ref="B22:C22"/>
    <mergeCell ref="B23:C23"/>
    <mergeCell ref="B24:C24"/>
    <mergeCell ref="B25:C25"/>
    <mergeCell ref="B26:C26"/>
  </mergeCells>
  <conditionalFormatting sqref="D5:F16">
    <cfRule type="cellIs" dxfId="0" priority="1" operator="equal">
      <formula>#REF!</formula>
    </cfRule>
  </conditionalFormatting>
  <pageMargins left="0.511811024" right="0.511811024" top="0.787401575" bottom="0.787401575" header="0.31496062" footer="0.31496062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4997541F-8D34-4F47-A1B7-7103EF38A630}">
  <ds:schemaRefs/>
</ds:datastoreItem>
</file>

<file path=customXml/itemProps3.xml><?xml version="1.0" encoding="utf-8"?>
<ds:datastoreItem xmlns:ds="http://schemas.openxmlformats.org/officeDocument/2006/customXml" ds:itemID="{E58316D4-6572-4492-B794-49162B3FFA21}">
  <ds:schemaRefs/>
</ds:datastoreItem>
</file>

<file path=customXml/itemProps4.xml><?xml version="1.0" encoding="utf-8"?>
<ds:datastoreItem xmlns:ds="http://schemas.openxmlformats.org/officeDocument/2006/customXml" ds:itemID="{550E321C-AE04-4F20-B34C-559617E0D05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Ligga Telecom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Vendedor_Loja B2C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Gavanski Tsuneta</dc:creator>
  <cp:lastModifiedBy>anderson.ramos</cp:lastModifiedBy>
  <dcterms:created xsi:type="dcterms:W3CDTF">2025-04-01T17:18:00Z</dcterms:created>
  <cp:lastPrinted>2025-04-01T17:18:00Z</cp:lastPrinted>
  <dcterms:modified xsi:type="dcterms:W3CDTF">2025-09-16T14:21:16Z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0x010100B25237380CE411419307858A6EE9DD11</vt:lpwstr>
  </property>
  <property fmtid="{D5CDD505-2E9C-101B-9397-08002B2CF9AE}" pid="3" name="MediaServiceImageTags">
    <vt:lpwstr/>
  </property>
  <property fmtid="{D5CDD505-2E9C-101B-9397-08002B2CF9AE}" pid="4" name="ICV">
    <vt:lpwstr>CD57521955CA40ADA46DB9E178C7DF2C_12</vt:lpwstr>
  </property>
  <property fmtid="{D5CDD505-2E9C-101B-9397-08002B2CF9AE}" pid="5" name="KSOProductBuildVer">
    <vt:lpwstr>1046-12.2.0.22556</vt:lpwstr>
  </property>
</Properties>
</file>